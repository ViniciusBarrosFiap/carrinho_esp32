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7B15C873-8F0A-4ED1-BC8F-902A4C9C213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ustos do Carrinh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16" i="1" s="1"/>
  <c r="E18" i="1" s="1"/>
  <c r="E8" i="1"/>
  <c r="E7" i="1"/>
  <c r="E6" i="1"/>
  <c r="E5" i="1"/>
</calcChain>
</file>

<file path=xl/sharedStrings.xml><?xml version="1.0" encoding="utf-8"?>
<sst xmlns="http://schemas.openxmlformats.org/spreadsheetml/2006/main" count="31" uniqueCount="29">
  <si>
    <t>Estimativa de Custos - Carrinho Bluetooth com ESP32</t>
  </si>
  <si>
    <t>Item</t>
  </si>
  <si>
    <t>Categoria</t>
  </si>
  <si>
    <t>Qtd.</t>
  </si>
  <si>
    <t>Preco unit. (R$)</t>
  </si>
  <si>
    <t>Subtotal (R$)</t>
  </si>
  <si>
    <t>ESP32 DevKit V1 (30/38 pinos)</t>
  </si>
  <si>
    <t>Placa de controle</t>
  </si>
  <si>
    <t>Ponte H L298N (modulo driver)</t>
  </si>
  <si>
    <t>Controle de motores</t>
  </si>
  <si>
    <t>Motor DC 3-6V com caixa de reducao</t>
  </si>
  <si>
    <t>Motores</t>
  </si>
  <si>
    <t>Pilha/bateria litio formato AA (4,2V) recarregavel</t>
  </si>
  <si>
    <t>Alimentacao</t>
  </si>
  <si>
    <t>Caixa/suporte de pilhas (porta-pilhas)</t>
  </si>
  <si>
    <t>Jumpers macho-macho (kit)</t>
  </si>
  <si>
    <t>Conexoes</t>
  </si>
  <si>
    <t>Sensor ultrassonico HC-SR04</t>
  </si>
  <si>
    <t>Sensor anticolisao</t>
  </si>
  <si>
    <t>Resistor 1k ohm (unidade)</t>
  </si>
  <si>
    <t>Divisor de tensao do ECHO</t>
  </si>
  <si>
    <t>Resistor 2k ohm (unidade)</t>
  </si>
  <si>
    <t>Protoboard 400 pontos</t>
  </si>
  <si>
    <t>Prototipagem</t>
  </si>
  <si>
    <t>Chassi 2WD com rodas (opcional)</t>
  </si>
  <si>
    <t>Estrutura</t>
  </si>
  <si>
    <t>TOTAL</t>
  </si>
  <si>
    <t>Total considerando o que voce ja possui (pilhas)</t>
  </si>
  <si>
    <t>já possui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</si>
</sst>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/>
    <xf numFmtId="0" fontId="0" fillId="0" borderId="1" xfId="0" applyBorder="1"/>
    <xf numFmtId="0" fontId="5" fillId="0" borderId="1" xfId="0" applyFont="1" applyBorder="1" applyAlignment="1">
      <alignment horizontal="right"/>
    </xf>
    <xf numFmtId="164" fontId="5" fillId="4" borderId="1" xfId="0" applyNumberFormat="1" applyFont="1" applyFill="1" applyBorder="1"/>
    <xf numFmtId="164" fontId="6" fillId="3" borderId="1" xfId="0" applyNumberFormat="1" applyFont="1" applyFill="1" applyBorder="1"/>
    <xf numFmtId="0" fontId="6" fillId="0" borderId="0" xfId="0" applyFont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pane ySplit="4" topLeftCell="A5" activePane="bottomLeft" state="frozen"/>
      <selection pane="bottomLeft" activeCell="F6" sqref="F6"/>
    </sheetView>
  </sheetViews>
  <sheetFormatPr defaultColWidth="8.7109375" defaultRowHeight="15" x14ac:dyDescent="0.25"/>
  <cols>
    <col min="1" max="1" width="38" customWidth="1"/>
    <col min="2" max="2" width="22" customWidth="1"/>
    <col min="3" max="3" width="6" customWidth="1"/>
    <col min="4" max="4" width="15" customWidth="1"/>
    <col min="5" max="5" width="14" customWidth="1"/>
    <col min="6" max="6" width="42" customWidth="1"/>
  </cols>
  <sheetData>
    <row r="1" spans="1:6" ht="18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/>
      <c r="B2" s="1"/>
      <c r="C2" s="1"/>
      <c r="D2" s="1"/>
      <c r="E2" s="1"/>
      <c r="F2" s="1"/>
    </row>
    <row r="4" spans="1:6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6" x14ac:dyDescent="0.25">
      <c r="A5" s="4" t="s">
        <v>6</v>
      </c>
      <c r="B5" s="4" t="s">
        <v>7</v>
      </c>
      <c r="C5" s="5">
        <v>1</v>
      </c>
      <c r="D5" s="6">
        <v>35</v>
      </c>
      <c r="E5" s="6">
        <f t="shared" ref="E5:E15" si="0">C5*D5</f>
        <v>35</v>
      </c>
    </row>
    <row r="6" spans="1:6" x14ac:dyDescent="0.25">
      <c r="A6" s="4" t="s">
        <v>8</v>
      </c>
      <c r="B6" s="4" t="s">
        <v>9</v>
      </c>
      <c r="C6" s="5">
        <v>1</v>
      </c>
      <c r="D6" s="6">
        <v>20</v>
      </c>
      <c r="E6" s="6">
        <f t="shared" si="0"/>
        <v>20</v>
      </c>
    </row>
    <row r="7" spans="1:6" x14ac:dyDescent="0.25">
      <c r="A7" s="4" t="s">
        <v>10</v>
      </c>
      <c r="B7" s="4" t="s">
        <v>11</v>
      </c>
      <c r="C7" s="5">
        <v>2</v>
      </c>
      <c r="D7" s="6">
        <v>30</v>
      </c>
      <c r="E7" s="6">
        <f t="shared" si="0"/>
        <v>60</v>
      </c>
    </row>
    <row r="8" spans="1:6" x14ac:dyDescent="0.25">
      <c r="A8" s="7" t="s">
        <v>12</v>
      </c>
      <c r="B8" s="7" t="s">
        <v>13</v>
      </c>
      <c r="C8" s="8">
        <v>2</v>
      </c>
      <c r="D8" s="9">
        <v>18</v>
      </c>
      <c r="E8" s="9">
        <f t="shared" si="0"/>
        <v>36</v>
      </c>
      <c r="F8" t="s">
        <v>28</v>
      </c>
    </row>
    <row r="9" spans="1:6" x14ac:dyDescent="0.25">
      <c r="A9" s="4" t="s">
        <v>14</v>
      </c>
      <c r="B9" s="4" t="s">
        <v>13</v>
      </c>
      <c r="C9" s="5">
        <v>1</v>
      </c>
      <c r="D9" s="6">
        <v>6</v>
      </c>
      <c r="E9" s="6">
        <f t="shared" si="0"/>
        <v>6</v>
      </c>
    </row>
    <row r="10" spans="1:6" x14ac:dyDescent="0.25">
      <c r="A10" s="4" t="s">
        <v>15</v>
      </c>
      <c r="B10" s="4" t="s">
        <v>16</v>
      </c>
      <c r="C10" s="5">
        <v>1</v>
      </c>
      <c r="D10" s="6">
        <v>9</v>
      </c>
      <c r="E10" s="6">
        <f t="shared" si="0"/>
        <v>9</v>
      </c>
    </row>
    <row r="11" spans="1:6" x14ac:dyDescent="0.25">
      <c r="A11" s="4" t="s">
        <v>17</v>
      </c>
      <c r="B11" s="4" t="s">
        <v>18</v>
      </c>
      <c r="C11" s="5">
        <v>1</v>
      </c>
      <c r="D11" s="6">
        <v>14</v>
      </c>
      <c r="E11" s="6">
        <f t="shared" si="0"/>
        <v>14</v>
      </c>
    </row>
    <row r="12" spans="1:6" x14ac:dyDescent="0.25">
      <c r="A12" s="4" t="s">
        <v>19</v>
      </c>
      <c r="B12" s="4" t="s">
        <v>20</v>
      </c>
      <c r="C12" s="5">
        <v>1</v>
      </c>
      <c r="D12" s="6">
        <v>0.2</v>
      </c>
      <c r="E12" s="6">
        <f t="shared" si="0"/>
        <v>0.2</v>
      </c>
    </row>
    <row r="13" spans="1:6" x14ac:dyDescent="0.25">
      <c r="A13" s="4" t="s">
        <v>21</v>
      </c>
      <c r="B13" s="4" t="s">
        <v>20</v>
      </c>
      <c r="C13" s="5">
        <v>1</v>
      </c>
      <c r="D13" s="6">
        <v>0.2</v>
      </c>
      <c r="E13" s="6">
        <f t="shared" si="0"/>
        <v>0.2</v>
      </c>
    </row>
    <row r="14" spans="1:6" x14ac:dyDescent="0.25">
      <c r="A14" s="4" t="s">
        <v>22</v>
      </c>
      <c r="B14" s="4" t="s">
        <v>23</v>
      </c>
      <c r="C14" s="5">
        <v>1</v>
      </c>
      <c r="D14" s="6">
        <v>8</v>
      </c>
      <c r="E14" s="6">
        <f t="shared" si="0"/>
        <v>8</v>
      </c>
    </row>
    <row r="15" spans="1:6" x14ac:dyDescent="0.25">
      <c r="A15" s="4" t="s">
        <v>24</v>
      </c>
      <c r="B15" s="4" t="s">
        <v>25</v>
      </c>
      <c r="C15" s="5">
        <v>1</v>
      </c>
      <c r="D15" s="6">
        <v>30</v>
      </c>
      <c r="E15" s="6">
        <f t="shared" si="0"/>
        <v>30</v>
      </c>
    </row>
    <row r="16" spans="1:6" x14ac:dyDescent="0.25">
      <c r="A16" s="10"/>
      <c r="B16" s="10"/>
      <c r="C16" s="10"/>
      <c r="D16" s="11" t="s">
        <v>26</v>
      </c>
      <c r="E16" s="12">
        <f>SUM(E5:E15)</f>
        <v>218.39999999999998</v>
      </c>
    </row>
    <row r="18" spans="1:5" x14ac:dyDescent="0.25">
      <c r="A18" s="15" t="s">
        <v>27</v>
      </c>
      <c r="B18" s="15"/>
      <c r="C18" s="15"/>
      <c r="D18" s="15"/>
      <c r="E18" s="13">
        <f>E16-SUM(E8)</f>
        <v>182.39999999999998</v>
      </c>
    </row>
    <row r="20" spans="1:5" x14ac:dyDescent="0.25">
      <c r="A20" s="14"/>
    </row>
    <row r="21" spans="1:5" x14ac:dyDescent="0.25">
      <c r="A21" s="14"/>
    </row>
  </sheetData>
  <mergeCells count="3">
    <mergeCell ref="A1:F1"/>
    <mergeCell ref="A2:F2"/>
    <mergeCell ref="A18:D1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Custos do Carrinho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Laboratório FIAP</cp:lastModifiedBy>
  <cp:revision>0</cp:revision>
  <dcterms:created xsi:type="dcterms:W3CDTF">2026-08-27T23:01:12Z</dcterms:created>
  <dcterms:modified xsi:type="dcterms:W3CDTF">2026-08-27T23:03:02Z</dcterms:modified>
  <dc:language>en-US</dc:language>
</cp:coreProperties>
</file>